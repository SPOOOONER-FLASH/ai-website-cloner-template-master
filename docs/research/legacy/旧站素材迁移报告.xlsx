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ohns\Downloads\ai-website-cloner-template-master\docs\research\legacy\"/>
    </mc:Choice>
  </mc:AlternateContent>
  <bookViews>
    <workbookView windowHeight="15317"/>
  </bookViews>
  <sheets>
    <sheet name="①需重新提供的图片" sheetId="1" r:id="rId1"/>
    <sheet name="②材质字段冲突" sheetId="2" r:id="rId2"/>
    <sheet name="③认证待核实" sheetId="3" r:id="rId3"/>
    <sheet name="④本次已完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<sst xmlns="http://schemas.openxmlformats.org/spreadsheetml/2006/main" count="224" uniqueCount="107">
  <si>
    <t>需要甲方重新提供的产品图片</t>
  </si>
  <si>
    <t>旧站 2022 年上传的这批图，产品主体上压着对角线域名水印，无法去除，因此未采用。请提供无水印原图。</t>
  </si>
  <si>
    <t>型号</t>
  </si>
  <si>
    <t>产品名称</t>
  </si>
  <si>
    <t>图片序号</t>
  </si>
  <si>
    <t>问题</t>
  </si>
  <si>
    <t>水印内容</t>
  </si>
  <si>
    <t>旧站图片地址</t>
  </si>
  <si>
    <t>旧站产品页</t>
  </si>
  <si>
    <t>305</t>
  </si>
  <si>
    <t>Fire Door Panic Exit Device</t>
  </si>
  <si>
    <t>第 1 张</t>
  </si>
  <si>
    <t>对角线域名水印 + 左上角徽标</t>
  </si>
  <si>
    <t>www.cantonlock.com</t>
  </si>
  <si>
    <t>https://www.cantonlock.com/uploads/allimg/20220926/2-22092615144M38.gif</t>
  </si>
  <si>
    <t>https://www.cantonlock.com/index.php?m=home&amp;c=View&amp;a=index&amp;aid=387&amp;lang=en</t>
  </si>
  <si>
    <t>第 2 张</t>
  </si>
  <si>
    <t>https://www.cantonlock.com/uploads/allimg/20220926/2-22092615144I24.jpg</t>
  </si>
  <si>
    <t>第 3 张</t>
  </si>
  <si>
    <t>https://www.cantonlock.com/uploads/allimg/20220926/2-22092615144RT.jpg</t>
  </si>
  <si>
    <t>第 4 张</t>
  </si>
  <si>
    <t>https://www.cantonlock.com/uploads/allimg/20220926/2-22092615144c35.jpg</t>
  </si>
  <si>
    <t>第 5 张</t>
  </si>
  <si>
    <t>https://www.cantonlock.com/uploads/allimg/20220926/2-220926151449615.jpg</t>
  </si>
  <si>
    <t>第 6 张</t>
  </si>
  <si>
    <t>https://www.cantonlock.com/uploads/allimg/20220926/2-220926151450424.jpg</t>
  </si>
  <si>
    <t>320</t>
  </si>
  <si>
    <t>Two Point Locking Exit Device</t>
  </si>
  <si>
    <t>https://www.cantonlock.com/uploads/allimg/20220926/2-22092615255E27.jpg</t>
  </si>
  <si>
    <t>https://www.cantonlock.com/index.php?m=home&amp;c=View&amp;a=index&amp;aid=391&amp;lang=en</t>
  </si>
  <si>
    <t>https://www.cantonlock.com/uploads/allimg/20220926/2-220926152556292.jpg</t>
  </si>
  <si>
    <t>https://www.cantonlock.com/uploads/allimg/20220926/2-22092615255S11.jpg</t>
  </si>
  <si>
    <t>600</t>
  </si>
  <si>
    <t>Concealed Sliding Door Handle</t>
  </si>
  <si>
    <t>水印是【其他品牌域名】，最严重</t>
  </si>
  <si>
    <t>www.hydeland.cn</t>
  </si>
  <si>
    <t>https://www.cantonlock.com/uploads/allimg/20220927/2-22092GH00IZ.jpg</t>
  </si>
  <si>
    <t>https://www.cantonlock.com/index.php?m=home&amp;c=View&amp;a=index&amp;aid=506&amp;lang=en</t>
  </si>
  <si>
    <t>https://www.cantonlock.com/uploads/allimg/20220927/2-22092GH00K36.jpg</t>
  </si>
  <si>
    <t>https://www.cantonlock.com/uploads/allimg/20220927/2-22092GH00R18.jpg</t>
  </si>
  <si>
    <t>合计</t>
  </si>
  <si>
    <t>材质 / 表面处理 / 适用门型 —— 两个来源对不上</t>
  </si>
  <si>
    <t>左边是我们网站现在写的（来自微信素材包），右边是甲方旧站自己写的。两边都是甲方给的，需要甲方确认以哪个为准。</t>
  </si>
  <si>
    <t>字段</t>
  </si>
  <si>
    <t>网站现在写的</t>
  </si>
  <si>
    <t>旧站写的</t>
  </si>
  <si>
    <t>严重程度</t>
  </si>
  <si>
    <t>需要甲方确认</t>
  </si>
  <si>
    <t>023 ETAN</t>
  </si>
  <si>
    <t>材质</t>
  </si>
  <si>
    <t>Steel</t>
  </si>
  <si>
    <t>steel material with spray painting , different finishes are available .</t>
  </si>
  <si>
    <t>措辞差异</t>
  </si>
  <si>
    <t>确认用哪个说法</t>
  </si>
  <si>
    <t>适用门型</t>
  </si>
  <si>
    <t>Fire door, Escape door</t>
  </si>
  <si>
    <t>Fire door , panic door .</t>
  </si>
  <si>
    <t>表面处理</t>
  </si>
  <si>
    <t>Black powder coat, Polished cylinder trim</t>
  </si>
  <si>
    <t>Zinc-plated, black or chrome-plated.</t>
  </si>
  <si>
    <t>Steel / stainless steel</t>
  </si>
  <si>
    <t>Iron material and Aluminium</t>
  </si>
  <si>
    <t>⚠ 材质不同</t>
  </si>
  <si>
    <t>铁 / 钢 是两种金属，必须确认</t>
  </si>
  <si>
    <t>Satin stainless, Powder-coated black</t>
  </si>
  <si>
    <t>spray painting</t>
  </si>
  <si>
    <t>314</t>
  </si>
  <si>
    <t>Aluminium / steel</t>
  </si>
  <si>
    <t>Painted Iron / SS304 Optional</t>
  </si>
  <si>
    <t>Timber, Steel, Aluminium</t>
  </si>
  <si>
    <t>Single-Leaf Door</t>
  </si>
  <si>
    <t>317</t>
  </si>
  <si>
    <t>Iron</t>
  </si>
  <si>
    <t>Anodised silver</t>
  </si>
  <si>
    <t>Polished Surface</t>
  </si>
  <si>
    <t>Stainless steel</t>
  </si>
  <si>
    <t>304 stainless steel</t>
  </si>
  <si>
    <t>这些字段本次一律未改动，网站上仍是原来的值。采购商会照着材质下单，所以由甲方拍板，不由我们推断。</t>
  </si>
  <si>
    <t>旧站上的认证声明 —— 已拦截，未采用</t>
  </si>
  <si>
    <t>认证是对外承诺，必须有一份点名该型号的检测报告才能publish。以下两条都缺报告支撑。</t>
  </si>
  <si>
    <t>处理</t>
  </si>
  <si>
    <t>需要甲方提供</t>
  </si>
  <si>
    <t>Certification：EN1205</t>
  </si>
  <si>
    <t>该标准号不存在。逃生推杠的标准是 EN 1125，旧站同一页的 meta 里又写成 EN12205，明显是打错的。</t>
  </si>
  <si>
    <t>未采用</t>
  </si>
  <si>
    <t>点名该型号的检测报告扫描件</t>
  </si>
  <si>
    <t>Certification：EN1125</t>
  </si>
  <si>
    <t>标准号本身有效，但我们手上的四份报告点名的是 KD070/30-290、KD070/20-101、607 SS ET，没有一份覆盖此型号。</t>
  </si>
  <si>
    <t>拿到报告后，在 CMS 后台该产品的「认证」字段里填写，并把报告文件传到「下载中心」关联上即可。</t>
  </si>
  <si>
    <t>本次从旧站补回的内容</t>
  </si>
  <si>
    <t>以下内容已经上线到 spoonercantonlock.stahlock.com，构建通过。</t>
  </si>
  <si>
    <t>新增图片</t>
  </si>
  <si>
    <t>规格行数</t>
  </si>
  <si>
    <t>图片来源批次</t>
  </si>
  <si>
    <t>状态</t>
  </si>
  <si>
    <t>Anti-Pick Panic Exit Device Trim</t>
  </si>
  <si>
    <t>2024 年</t>
  </si>
  <si>
    <t>✅ 已上线</t>
  </si>
  <si>
    <t>Alarm Panic Bar Exit Device</t>
  </si>
  <si>
    <t>2026 年</t>
  </si>
  <si>
    <t>Cold Room Push Bar Exit Device</t>
  </si>
  <si>
    <t>（见工作表①）</t>
  </si>
  <si>
    <t>已补规格</t>
  </si>
  <si>
    <t>2022 年 — 未采用</t>
  </si>
  <si>
    <t>⚠ 待甲方给图</t>
  </si>
  <si>
    <t>合计新增图片</t>
  </si>
  <si>
    <t>另外：旧站共有 424 个产品，我们网站目前 20 个。是否继续批量导入，等甲方定。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</si>
</sst>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宋体"/>
      <charset val="134"/>
      <scheme val="minor"/>
    </font>
    <font>
      <b/>
      <sz val="14"/>
      <name val="Microsoft YaHei"/>
      <charset val="134"/>
    </font>
    <font>
      <i/>
      <sz val="9"/>
      <color rgb="FF595959"/>
      <name val="Microsoft YaHei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0"/>
      <color rgb="FFC00000"/>
      <name val="Microsoft YaHei"/>
      <charset val="134"/>
    </font>
    <font>
      <b/>
      <sz val="10"/>
      <name val="Microsoft YaHei"/>
      <charset val="134"/>
    </font>
    <font>
      <u/>
      <sz val="9"/>
      <color rgb="FF0563C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/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antonlock.com/index.php?m=home&amp;c=View&amp;a=index&amp;aid=391&amp;lang=en" TargetMode="External"/><Relationship Id="rId8" Type="http://schemas.openxmlformats.org/officeDocument/2006/relationships/hyperlink" Target="https://www.cantonlock.com/uploads/allimg/20220926/2-22092615255E27.jpg" TargetMode="External"/><Relationship Id="rId7" Type="http://schemas.openxmlformats.org/officeDocument/2006/relationships/hyperlink" Target="https://www.cantonlock.com/uploads/allimg/20220926/2-220926151450424.jpg" TargetMode="External"/><Relationship Id="rId6" Type="http://schemas.openxmlformats.org/officeDocument/2006/relationships/hyperlink" Target="https://www.cantonlock.com/uploads/allimg/20220926/2-220926151449615.jpg" TargetMode="External"/><Relationship Id="rId5" Type="http://schemas.openxmlformats.org/officeDocument/2006/relationships/hyperlink" Target="https://www.cantonlock.com/uploads/allimg/20220926/2-22092615144c35.jpg" TargetMode="External"/><Relationship Id="rId4" Type="http://schemas.openxmlformats.org/officeDocument/2006/relationships/hyperlink" Target="https://www.cantonlock.com/uploads/allimg/20220926/2-22092615144RT.jpg" TargetMode="External"/><Relationship Id="rId3" Type="http://schemas.openxmlformats.org/officeDocument/2006/relationships/hyperlink" Target="https://www.cantonlock.com/uploads/allimg/20220926/2-22092615144I24.jpg" TargetMode="External"/><Relationship Id="rId2" Type="http://schemas.openxmlformats.org/officeDocument/2006/relationships/hyperlink" Target="https://www.cantonlock.com/index.php?m=home&amp;c=View&amp;a=index&amp;aid=387&amp;lang=en" TargetMode="External"/><Relationship Id="rId15" Type="http://schemas.openxmlformats.org/officeDocument/2006/relationships/hyperlink" Target="https://www.cantonlock.com/uploads/allimg/20220927/2-22092GH00R18.jpg" TargetMode="External"/><Relationship Id="rId14" Type="http://schemas.openxmlformats.org/officeDocument/2006/relationships/hyperlink" Target="https://www.cantonlock.com/uploads/allimg/20220927/2-22092GH00K36.jpg" TargetMode="External"/><Relationship Id="rId13" Type="http://schemas.openxmlformats.org/officeDocument/2006/relationships/hyperlink" Target="https://www.cantonlock.com/index.php?m=home&amp;c=View&amp;a=index&amp;aid=506&amp;lang=en" TargetMode="External"/><Relationship Id="rId12" Type="http://schemas.openxmlformats.org/officeDocument/2006/relationships/hyperlink" Target="https://www.cantonlock.com/uploads/allimg/20220927/2-22092GH00IZ.jpg" TargetMode="External"/><Relationship Id="rId11" Type="http://schemas.openxmlformats.org/officeDocument/2006/relationships/hyperlink" Target="https://www.cantonlock.com/uploads/allimg/20220926/2-22092615255S11.jpg" TargetMode="External"/><Relationship Id="rId10" Type="http://schemas.openxmlformats.org/officeDocument/2006/relationships/hyperlink" Target="https://www.cantonlock.com/uploads/allimg/20220926/2-220926152556292.jpg" TargetMode="External"/><Relationship Id="rId1" Type="http://schemas.openxmlformats.org/officeDocument/2006/relationships/hyperlink" Target="https://www.cantonlock.com/uploads/allimg/20220926/2-22092615144M38.g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tabSelected="1" workbookViewId="0">
      <pane ySplit="4" topLeftCell="A5" activePane="bottomLeft" state="frozen"/>
      <selection/>
      <selection pane="bottomLeft" activeCell="A20" sqref="A20"/>
    </sheetView>
  </sheetViews>
  <sheetFormatPr defaultColWidth="9" defaultRowHeight="14.1" outlineLevelCol="6"/>
  <cols>
    <col min="1" max="1" width="12" customWidth="1"/>
    <col min="2" max="2" width="34" customWidth="1"/>
    <col min="3" max="3" width="10" customWidth="1"/>
    <col min="4" max="4" width="26" customWidth="1"/>
    <col min="5" max="5" width="20" customWidth="1"/>
    <col min="6" max="6" width="52" customWidth="1"/>
    <col min="7" max="7" width="46" customWidth="1"/>
  </cols>
  <sheetData>
    <row r="1" ht="20.1" spans="1:7">
      <c r="A1" s="1" t="s">
        <v>0</v>
      </c>
    </row>
    <row r="2" spans="1:7">
      <c r="A2" s="2" t="s">
        <v>1</v>
      </c>
    </row>
    <row r="4" ht="30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5.7" spans="1:7">
      <c r="A5" s="8" t="s">
        <v>9</v>
      </c>
      <c r="B5" s="8" t="s">
        <v>10</v>
      </c>
      <c r="C5" s="8" t="s">
        <v>11</v>
      </c>
      <c r="D5" s="9" t="s">
        <v>12</v>
      </c>
      <c r="E5" s="9" t="s">
        <v>13</v>
      </c>
      <c r="F5" s="10" t="s">
        <v>14</v>
      </c>
      <c r="G5" s="10" t="s">
        <v>15</v>
      </c>
    </row>
    <row r="6" ht="25.7" spans="1:7">
      <c r="A6" s="8" t="s">
        <v>9</v>
      </c>
      <c r="B6" s="8" t="s">
        <v>10</v>
      </c>
      <c r="C6" s="8" t="s">
        <v>16</v>
      </c>
      <c r="D6" s="9" t="s">
        <v>12</v>
      </c>
      <c r="E6" s="9" t="s">
        <v>13</v>
      </c>
      <c r="F6" s="10" t="s">
        <v>17</v>
      </c>
      <c r="G6" s="10" t="s">
        <v>15</v>
      </c>
    </row>
    <row r="7" ht="25.7" spans="1:7">
      <c r="A7" s="8" t="s">
        <v>9</v>
      </c>
      <c r="B7" s="8" t="s">
        <v>10</v>
      </c>
      <c r="C7" s="8" t="s">
        <v>18</v>
      </c>
      <c r="D7" s="9" t="s">
        <v>12</v>
      </c>
      <c r="E7" s="9" t="s">
        <v>13</v>
      </c>
      <c r="F7" s="10" t="s">
        <v>19</v>
      </c>
      <c r="G7" s="10" t="s">
        <v>15</v>
      </c>
    </row>
    <row r="8" ht="25.7" spans="1:7">
      <c r="A8" s="8" t="s">
        <v>9</v>
      </c>
      <c r="B8" s="8" t="s">
        <v>10</v>
      </c>
      <c r="C8" s="8" t="s">
        <v>20</v>
      </c>
      <c r="D8" s="9" t="s">
        <v>12</v>
      </c>
      <c r="E8" s="9" t="s">
        <v>13</v>
      </c>
      <c r="F8" s="10" t="s">
        <v>21</v>
      </c>
      <c r="G8" s="10" t="s">
        <v>15</v>
      </c>
    </row>
    <row r="9" ht="25.7" spans="1:7">
      <c r="A9" s="8" t="s">
        <v>9</v>
      </c>
      <c r="B9" s="8" t="s">
        <v>10</v>
      </c>
      <c r="C9" s="8" t="s">
        <v>22</v>
      </c>
      <c r="D9" s="9" t="s">
        <v>12</v>
      </c>
      <c r="E9" s="9" t="s">
        <v>13</v>
      </c>
      <c r="F9" s="10" t="s">
        <v>23</v>
      </c>
      <c r="G9" s="10" t="s">
        <v>15</v>
      </c>
    </row>
    <row r="10" ht="25.7" spans="1:7">
      <c r="A10" s="8" t="s">
        <v>9</v>
      </c>
      <c r="B10" s="8" t="s">
        <v>10</v>
      </c>
      <c r="C10" s="8" t="s">
        <v>24</v>
      </c>
      <c r="D10" s="9" t="s">
        <v>12</v>
      </c>
      <c r="E10" s="9" t="s">
        <v>13</v>
      </c>
      <c r="F10" s="10" t="s">
        <v>25</v>
      </c>
      <c r="G10" s="10" t="s">
        <v>15</v>
      </c>
    </row>
    <row r="11" ht="25.7" spans="1:7">
      <c r="A11" s="8" t="s">
        <v>26</v>
      </c>
      <c r="B11" s="8" t="s">
        <v>27</v>
      </c>
      <c r="C11" s="8" t="s">
        <v>11</v>
      </c>
      <c r="D11" s="9" t="s">
        <v>12</v>
      </c>
      <c r="E11" s="9" t="s">
        <v>13</v>
      </c>
      <c r="F11" s="10" t="s">
        <v>28</v>
      </c>
      <c r="G11" s="10" t="s">
        <v>29</v>
      </c>
    </row>
    <row r="12" ht="25.7" spans="1:7">
      <c r="A12" s="8" t="s">
        <v>26</v>
      </c>
      <c r="B12" s="8" t="s">
        <v>27</v>
      </c>
      <c r="C12" s="8" t="s">
        <v>16</v>
      </c>
      <c r="D12" s="9" t="s">
        <v>12</v>
      </c>
      <c r="E12" s="9" t="s">
        <v>13</v>
      </c>
      <c r="F12" s="10" t="s">
        <v>30</v>
      </c>
      <c r="G12" s="10" t="s">
        <v>29</v>
      </c>
    </row>
    <row r="13" ht="25.7" spans="1:7">
      <c r="A13" s="8" t="s">
        <v>26</v>
      </c>
      <c r="B13" s="8" t="s">
        <v>27</v>
      </c>
      <c r="C13" s="8" t="s">
        <v>18</v>
      </c>
      <c r="D13" s="9" t="s">
        <v>12</v>
      </c>
      <c r="E13" s="9" t="s">
        <v>13</v>
      </c>
      <c r="F13" s="10" t="s">
        <v>31</v>
      </c>
      <c r="G13" s="10" t="s">
        <v>29</v>
      </c>
    </row>
    <row r="14" ht="27.45" spans="1:7">
      <c r="A14" s="8" t="s">
        <v>32</v>
      </c>
      <c r="B14" s="8" t="s">
        <v>33</v>
      </c>
      <c r="C14" s="8" t="s">
        <v>11</v>
      </c>
      <c r="D14" s="9" t="s">
        <v>34</v>
      </c>
      <c r="E14" s="9" t="s">
        <v>35</v>
      </c>
      <c r="F14" s="10" t="s">
        <v>36</v>
      </c>
      <c r="G14" s="10" t="s">
        <v>37</v>
      </c>
    </row>
    <row r="15" ht="27.45" spans="1:7">
      <c r="A15" s="8" t="s">
        <v>32</v>
      </c>
      <c r="B15" s="8" t="s">
        <v>33</v>
      </c>
      <c r="C15" s="8" t="s">
        <v>16</v>
      </c>
      <c r="D15" s="9" t="s">
        <v>34</v>
      </c>
      <c r="E15" s="9" t="s">
        <v>35</v>
      </c>
      <c r="F15" s="10" t="s">
        <v>38</v>
      </c>
      <c r="G15" s="10" t="s">
        <v>37</v>
      </c>
    </row>
    <row r="16" ht="27.45" spans="1:7">
      <c r="A16" s="8" t="s">
        <v>32</v>
      </c>
      <c r="B16" s="8" t="s">
        <v>33</v>
      </c>
      <c r="C16" s="8" t="s">
        <v>18</v>
      </c>
      <c r="D16" s="9" t="s">
        <v>34</v>
      </c>
      <c r="E16" s="9" t="s">
        <v>35</v>
      </c>
      <c r="F16" s="10" t="s">
        <v>39</v>
      </c>
      <c r="G16" s="10" t="s">
        <v>37</v>
      </c>
    </row>
    <row r="18" ht="14.55" spans="1:3">
      <c r="A18" s="7" t="s">
        <v>40</v>
      </c>
      <c r="C18" s="7">
        <f>COUNTA(C5:C16)</f>
        <v>12</v>
      </c>
    </row>
    <row r="20" spans="1:3">
      <c r="A20" s="2"/>
    </row>
  </sheetData>
  <hyperlinks>
    <hyperlink ref="F5" r:id="rId1" display="https://www.cantonlock.com/uploads/allimg/20220926/2-22092615144M38.gif"/>
    <hyperlink ref="G5" r:id="rId2" display="https://www.cantonlock.com/index.php?m=home&amp;c=View&amp;a=index&amp;aid=387&amp;lang=en"/>
    <hyperlink ref="F6" r:id="rId3" display="https://www.cantonlock.com/uploads/allimg/20220926/2-22092615144I24.jpg"/>
    <hyperlink ref="G6" r:id="rId2" display="https://www.cantonlock.com/index.php?m=home&amp;c=View&amp;a=index&amp;aid=387&amp;lang=en"/>
    <hyperlink ref="F7" r:id="rId4" display="https://www.cantonlock.com/uploads/allimg/20220926/2-22092615144RT.jpg"/>
    <hyperlink ref="G7" r:id="rId2" display="https://www.cantonlock.com/index.php?m=home&amp;c=View&amp;a=index&amp;aid=387&amp;lang=en"/>
    <hyperlink ref="F8" r:id="rId5" display="https://www.cantonlock.com/uploads/allimg/20220926/2-22092615144c35.jpg"/>
    <hyperlink ref="G8" r:id="rId2" display="https://www.cantonlock.com/index.php?m=home&amp;c=View&amp;a=index&amp;aid=387&amp;lang=en"/>
    <hyperlink ref="F9" r:id="rId6" display="https://www.cantonlock.com/uploads/allimg/20220926/2-220926151449615.jpg"/>
    <hyperlink ref="G9" r:id="rId2" display="https://www.cantonlock.com/index.php?m=home&amp;c=View&amp;a=index&amp;aid=387&amp;lang=en"/>
    <hyperlink ref="F10" r:id="rId7" display="https://www.cantonlock.com/uploads/allimg/20220926/2-220926151450424.jpg"/>
    <hyperlink ref="G10" r:id="rId2" display="https://www.cantonlock.com/index.php?m=home&amp;c=View&amp;a=index&amp;aid=387&amp;lang=en"/>
    <hyperlink ref="F11" r:id="rId8" display="https://www.cantonlock.com/uploads/allimg/20220926/2-22092615255E27.jpg"/>
    <hyperlink ref="G11" r:id="rId9" display="https://www.cantonlock.com/index.php?m=home&amp;c=View&amp;a=index&amp;aid=391&amp;lang=en"/>
    <hyperlink ref="F12" r:id="rId10" display="https://www.cantonlock.com/uploads/allimg/20220926/2-220926152556292.jpg"/>
    <hyperlink ref="G12" r:id="rId9" display="https://www.cantonlock.com/index.php?m=home&amp;c=View&amp;a=index&amp;aid=391&amp;lang=en"/>
    <hyperlink ref="F13" r:id="rId11" display="https://www.cantonlock.com/uploads/allimg/20220926/2-22092615255S11.jpg"/>
    <hyperlink ref="G13" r:id="rId9" display="https://www.cantonlock.com/index.php?m=home&amp;c=View&amp;a=index&amp;aid=391&amp;lang=en"/>
    <hyperlink ref="F14" r:id="rId12" display="https://www.cantonlock.com/uploads/allimg/20220927/2-22092GH00IZ.jpg"/>
    <hyperlink ref="G14" r:id="rId13" display="https://www.cantonlock.com/index.php?m=home&amp;c=View&amp;a=index&amp;aid=506&amp;lang=en"/>
    <hyperlink ref="F15" r:id="rId14" display="https://www.cantonlock.com/uploads/allimg/20220927/2-22092GH00K36.jpg"/>
    <hyperlink ref="G15" r:id="rId13" display="https://www.cantonlock.com/index.php?m=home&amp;c=View&amp;a=index&amp;aid=506&amp;lang=en"/>
    <hyperlink ref="F16" r:id="rId15" display="https://www.cantonlock.com/uploads/allimg/20220927/2-22092GH00R18.jpg"/>
    <hyperlink ref="G16" r:id="rId13" display="https://www.cantonlock.com/index.php?m=home&amp;c=View&amp;a=index&amp;aid=506&amp;lang=e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1" outlineLevelCol="5"/>
  <cols>
    <col min="1" max="1" width="12" customWidth="1"/>
    <col min="2" max="2" width="14" customWidth="1"/>
    <col min="3" max="3" width="40" customWidth="1"/>
    <col min="4" max="4" width="46" customWidth="1"/>
    <col min="5" max="5" width="14" customWidth="1"/>
    <col min="6" max="6" width="34" customWidth="1"/>
  </cols>
  <sheetData>
    <row r="1" ht="20.1" spans="1:6">
      <c r="A1" s="1" t="s">
        <v>41</v>
      </c>
    </row>
    <row r="2" spans="1:6">
      <c r="A2" s="2" t="s">
        <v>42</v>
      </c>
    </row>
    <row r="4" ht="30" customHeight="1" spans="1:6">
      <c r="A4" s="3" t="s">
        <v>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</row>
    <row r="5" ht="27.45" spans="1:6">
      <c r="A5" s="5" t="s">
        <v>48</v>
      </c>
      <c r="B5" s="5" t="s">
        <v>49</v>
      </c>
      <c r="C5" s="5" t="s">
        <v>50</v>
      </c>
      <c r="D5" s="5" t="s">
        <v>51</v>
      </c>
      <c r="E5" s="6" t="s">
        <v>52</v>
      </c>
      <c r="F5" s="5" t="s">
        <v>53</v>
      </c>
    </row>
    <row r="6" spans="1:6">
      <c r="A6" s="5" t="s">
        <v>48</v>
      </c>
      <c r="B6" s="5" t="s">
        <v>54</v>
      </c>
      <c r="C6" s="5" t="s">
        <v>55</v>
      </c>
      <c r="D6" s="5" t="s">
        <v>56</v>
      </c>
      <c r="E6" s="6" t="s">
        <v>52</v>
      </c>
      <c r="F6" s="5" t="s">
        <v>53</v>
      </c>
    </row>
    <row r="7" spans="1:6">
      <c r="A7" s="5" t="s">
        <v>48</v>
      </c>
      <c r="B7" s="5" t="s">
        <v>57</v>
      </c>
      <c r="C7" s="5" t="s">
        <v>58</v>
      </c>
      <c r="D7" s="5" t="s">
        <v>59</v>
      </c>
      <c r="E7" s="6" t="s">
        <v>52</v>
      </c>
      <c r="F7" s="5" t="s">
        <v>53</v>
      </c>
    </row>
    <row r="8" spans="1:6">
      <c r="A8" s="8" t="s">
        <v>9</v>
      </c>
      <c r="B8" s="8" t="s">
        <v>49</v>
      </c>
      <c r="C8" s="8" t="s">
        <v>60</v>
      </c>
      <c r="D8" s="8" t="s">
        <v>61</v>
      </c>
      <c r="E8" s="9" t="s">
        <v>62</v>
      </c>
      <c r="F8" s="8" t="s">
        <v>63</v>
      </c>
    </row>
    <row r="9" spans="1:6">
      <c r="A9" s="5" t="s">
        <v>9</v>
      </c>
      <c r="B9" s="5" t="s">
        <v>57</v>
      </c>
      <c r="C9" s="5" t="s">
        <v>64</v>
      </c>
      <c r="D9" s="5" t="s">
        <v>65</v>
      </c>
      <c r="E9" s="6" t="s">
        <v>52</v>
      </c>
      <c r="F9" s="5" t="s">
        <v>53</v>
      </c>
    </row>
    <row r="10" spans="1:6">
      <c r="A10" s="8" t="s">
        <v>66</v>
      </c>
      <c r="B10" s="8" t="s">
        <v>49</v>
      </c>
      <c r="C10" s="8" t="s">
        <v>67</v>
      </c>
      <c r="D10" s="8" t="s">
        <v>68</v>
      </c>
      <c r="E10" s="9" t="s">
        <v>62</v>
      </c>
      <c r="F10" s="8" t="s">
        <v>63</v>
      </c>
    </row>
    <row r="11" spans="1:6">
      <c r="A11" s="5" t="s">
        <v>66</v>
      </c>
      <c r="B11" s="5" t="s">
        <v>54</v>
      </c>
      <c r="C11" s="5" t="s">
        <v>69</v>
      </c>
      <c r="D11" s="5" t="s">
        <v>70</v>
      </c>
      <c r="E11" s="6" t="s">
        <v>52</v>
      </c>
      <c r="F11" s="5" t="s">
        <v>53</v>
      </c>
    </row>
    <row r="12" spans="1:6">
      <c r="A12" s="8" t="s">
        <v>71</v>
      </c>
      <c r="B12" s="8" t="s">
        <v>49</v>
      </c>
      <c r="C12" s="8" t="s">
        <v>67</v>
      </c>
      <c r="D12" s="8" t="s">
        <v>72</v>
      </c>
      <c r="E12" s="9" t="s">
        <v>62</v>
      </c>
      <c r="F12" s="8" t="s">
        <v>63</v>
      </c>
    </row>
    <row r="13" spans="1:6">
      <c r="A13" s="5" t="s">
        <v>71</v>
      </c>
      <c r="B13" s="5" t="s">
        <v>57</v>
      </c>
      <c r="C13" s="5" t="s">
        <v>73</v>
      </c>
      <c r="D13" s="5" t="s">
        <v>74</v>
      </c>
      <c r="E13" s="6" t="s">
        <v>52</v>
      </c>
      <c r="F13" s="5" t="s">
        <v>53</v>
      </c>
    </row>
    <row r="14" spans="1:6">
      <c r="A14" s="8" t="s">
        <v>26</v>
      </c>
      <c r="B14" s="8" t="s">
        <v>49</v>
      </c>
      <c r="C14" s="8" t="s">
        <v>60</v>
      </c>
      <c r="D14" s="8" t="s">
        <v>72</v>
      </c>
      <c r="E14" s="9" t="s">
        <v>62</v>
      </c>
      <c r="F14" s="8" t="s">
        <v>63</v>
      </c>
    </row>
    <row r="15" spans="1:6">
      <c r="A15" s="5" t="s">
        <v>32</v>
      </c>
      <c r="B15" s="5" t="s">
        <v>49</v>
      </c>
      <c r="C15" s="5" t="s">
        <v>75</v>
      </c>
      <c r="D15" s="5" t="s">
        <v>76</v>
      </c>
      <c r="E15" s="6" t="s">
        <v>52</v>
      </c>
      <c r="F15" s="5" t="s">
        <v>53</v>
      </c>
    </row>
    <row r="18" spans="1:1">
      <c r="A18" s="2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1" outlineLevelCol="4"/>
  <cols>
    <col min="1" max="1" width="12" customWidth="1"/>
    <col min="2" max="2" width="24" customWidth="1"/>
    <col min="3" max="3" width="46" customWidth="1"/>
    <col min="4" max="4" width="20" customWidth="1"/>
    <col min="5" max="5" width="40" customWidth="1"/>
  </cols>
  <sheetData>
    <row r="1" ht="20.1" spans="1:5">
      <c r="A1" s="1" t="s">
        <v>78</v>
      </c>
    </row>
    <row r="2" spans="1:5">
      <c r="A2" s="2" t="s">
        <v>79</v>
      </c>
    </row>
    <row r="4" ht="30" customHeight="1" spans="1:5">
      <c r="A4" s="3" t="s">
        <v>2</v>
      </c>
      <c r="B4" s="3" t="s">
        <v>45</v>
      </c>
      <c r="C4" s="3" t="s">
        <v>5</v>
      </c>
      <c r="D4" s="3" t="s">
        <v>80</v>
      </c>
      <c r="E4" s="3" t="s">
        <v>81</v>
      </c>
    </row>
    <row r="5" ht="27.45" spans="1:5">
      <c r="A5" s="8" t="s">
        <v>9</v>
      </c>
      <c r="B5" s="8" t="s">
        <v>82</v>
      </c>
      <c r="C5" s="8" t="s">
        <v>83</v>
      </c>
      <c r="D5" s="9" t="s">
        <v>84</v>
      </c>
      <c r="E5" s="8" t="s">
        <v>85</v>
      </c>
    </row>
    <row r="6" ht="41.15" spans="1:5">
      <c r="A6" s="8" t="s">
        <v>26</v>
      </c>
      <c r="B6" s="8" t="s">
        <v>86</v>
      </c>
      <c r="C6" s="8" t="s">
        <v>87</v>
      </c>
      <c r="D6" s="9" t="s">
        <v>84</v>
      </c>
      <c r="E6" s="8" t="s">
        <v>85</v>
      </c>
    </row>
    <row r="9" spans="1:5">
      <c r="A9" s="2" t="s">
        <v>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1" outlineLevelCol="5"/>
  <cols>
    <col min="1" max="1" width="12" customWidth="1"/>
    <col min="2" max="2" width="40" customWidth="1"/>
    <col min="3" max="4" width="12" customWidth="1"/>
    <col min="5" max="5" width="18" customWidth="1"/>
    <col min="6" max="6" width="16" customWidth="1"/>
  </cols>
  <sheetData>
    <row r="1" ht="20.1" spans="1:6">
      <c r="A1" s="1" t="s">
        <v>89</v>
      </c>
    </row>
    <row r="2" spans="1:6">
      <c r="A2" s="2" t="s">
        <v>90</v>
      </c>
    </row>
    <row r="4" ht="30" customHeight="1" spans="1:6">
      <c r="A4" s="3" t="s">
        <v>2</v>
      </c>
      <c r="B4" s="3" t="s">
        <v>3</v>
      </c>
      <c r="C4" s="3" t="s">
        <v>91</v>
      </c>
      <c r="D4" s="3" t="s">
        <v>92</v>
      </c>
      <c r="E4" s="3" t="s">
        <v>93</v>
      </c>
      <c r="F4" s="3" t="s">
        <v>94</v>
      </c>
    </row>
    <row r="5" spans="1:6">
      <c r="A5" s="4" t="s">
        <v>48</v>
      </c>
      <c r="B5" s="4" t="s">
        <v>95</v>
      </c>
      <c r="C5" s="4">
        <v>3</v>
      </c>
      <c r="D5" s="4">
        <v>2</v>
      </c>
      <c r="E5" s="4" t="s">
        <v>96</v>
      </c>
      <c r="F5" s="4" t="s">
        <v>97</v>
      </c>
    </row>
    <row r="6" spans="1:6">
      <c r="A6" s="4" t="s">
        <v>66</v>
      </c>
      <c r="B6" s="4" t="s">
        <v>98</v>
      </c>
      <c r="C6" s="4">
        <v>5</v>
      </c>
      <c r="D6" s="4">
        <v>8</v>
      </c>
      <c r="E6" s="4" t="s">
        <v>99</v>
      </c>
      <c r="F6" s="4" t="s">
        <v>97</v>
      </c>
    </row>
    <row r="7" spans="1:6">
      <c r="A7" s="4" t="s">
        <v>71</v>
      </c>
      <c r="B7" s="4" t="s">
        <v>100</v>
      </c>
      <c r="C7" s="4">
        <v>5</v>
      </c>
      <c r="D7" s="4">
        <v>8</v>
      </c>
      <c r="E7" s="4" t="s">
        <v>99</v>
      </c>
      <c r="F7" s="4" t="s">
        <v>97</v>
      </c>
    </row>
    <row r="8" spans="1:6">
      <c r="A8" s="5" t="s">
        <v>9</v>
      </c>
      <c r="B8" s="5" t="s">
        <v>101</v>
      </c>
      <c r="C8" s="5">
        <v>0</v>
      </c>
      <c r="D8" s="5" t="s">
        <v>102</v>
      </c>
      <c r="E8" s="5" t="s">
        <v>103</v>
      </c>
      <c r="F8" s="6" t="s">
        <v>104</v>
      </c>
    </row>
    <row r="9" spans="1:6">
      <c r="A9" s="5" t="s">
        <v>26</v>
      </c>
      <c r="B9" s="5" t="s">
        <v>101</v>
      </c>
      <c r="C9" s="5">
        <v>0</v>
      </c>
      <c r="D9" s="5" t="s">
        <v>102</v>
      </c>
      <c r="E9" s="5" t="s">
        <v>103</v>
      </c>
      <c r="F9" s="6" t="s">
        <v>104</v>
      </c>
    </row>
    <row r="10" spans="1:6">
      <c r="A10" s="5" t="s">
        <v>32</v>
      </c>
      <c r="B10" s="5" t="s">
        <v>101</v>
      </c>
      <c r="C10" s="5">
        <v>0</v>
      </c>
      <c r="D10" s="5" t="s">
        <v>102</v>
      </c>
      <c r="E10" s="5" t="s">
        <v>103</v>
      </c>
      <c r="F10" s="6" t="s">
        <v>104</v>
      </c>
    </row>
    <row r="12" ht="14.55" spans="1:6">
      <c r="A12" s="7" t="s">
        <v>105</v>
      </c>
      <c r="C12" s="7">
        <f>SUM(C5:C10)</f>
        <v>13</v>
      </c>
    </row>
    <row r="14" spans="1:6">
      <c r="A14" s="2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①需重新提供的图片</vt:lpstr>
      <vt:lpstr>②材质字段冲突</vt:lpstr>
      <vt:lpstr>③认证待核实</vt:lpstr>
      <vt:lpstr>④本次已完成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</cp:lastModifiedBy>
  <dcterms:created xsi:type="dcterms:W3CDTF">2026-08-23T10:48:00Z</dcterms:created>
  <dcterms:modified xsi:type="dcterms:W3CDTF">2026-08-23T11:02:13Z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4CEEEEFA09FE4669B6299AE28F0E7CF5_12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